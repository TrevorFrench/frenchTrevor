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bmailbyui-my.sharepoint.com/personal/trevorfrench_byui_edu/Documents/"/>
    </mc:Choice>
  </mc:AlternateContent>
  <xr:revisionPtr revIDLastSave="349" documentId="8_{3B530B9B-8604-4BDA-B0A4-4707F004AD74}" xr6:coauthVersionLast="43" xr6:coauthVersionMax="43" xr10:uidLastSave="{F2909EF5-A350-43AB-9658-5DCC8D361428}"/>
  <bookViews>
    <workbookView xWindow="-120" yWindow="-120" windowWidth="24240" windowHeight="13140" xr2:uid="{1A5561DF-AE5B-42BC-B675-B020F25E436E}"/>
  </bookViews>
  <sheets>
    <sheet name="Portfolio" sheetId="1" r:id="rId1"/>
  </sheets>
  <functionGroups builtInGroupCount="19"/>
  <definedNames>
    <definedName name="Class">Portfolio!$O$4</definedName>
    <definedName name="Name">Portfolio!$K$4</definedName>
    <definedName name="Ticker">Portfolio!$J$4</definedName>
    <definedName name="Value">Portfolio!$L$4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9" i="1" l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6" i="1"/>
  <c r="N7" i="1"/>
  <c r="C14" i="1" s="1"/>
  <c r="N8" i="1"/>
  <c r="N5" i="1"/>
  <c r="C2" i="1" s="1"/>
  <c r="D13" i="1"/>
  <c r="C13" i="1"/>
  <c r="H5" i="1"/>
  <c r="G9" i="1"/>
  <c r="E10" i="1" l="1"/>
  <c r="C6" i="1"/>
  <c r="F6" i="1"/>
  <c r="D6" i="1"/>
  <c r="F10" i="1"/>
  <c r="D10" i="1"/>
  <c r="D14" i="1"/>
  <c r="E14" i="1" s="1"/>
  <c r="G6" i="1"/>
  <c r="E6" i="1"/>
  <c r="C10" i="1"/>
  <c r="G10" i="1" s="1"/>
  <c r="E13" i="1"/>
  <c r="H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564A8D-AECA-4D9E-8A3D-397C53B4A041}" name="Connection7" type="4" refreshedVersion="0" background="1">
    <webPr url="https://robinhood.com/stocks/BTC" htmlTables="1" htmlFormat="all"/>
  </connection>
</connections>
</file>

<file path=xl/sharedStrings.xml><?xml version="1.0" encoding="utf-8"?>
<sst xmlns="http://schemas.openxmlformats.org/spreadsheetml/2006/main" count="61" uniqueCount="39">
  <si>
    <t>Real Estate</t>
  </si>
  <si>
    <t>CryptoCurrency</t>
  </si>
  <si>
    <t>Equity</t>
  </si>
  <si>
    <t>Security</t>
  </si>
  <si>
    <t>Large Cap</t>
  </si>
  <si>
    <t>Mid Cap</t>
  </si>
  <si>
    <t>Small Cap</t>
  </si>
  <si>
    <t>International</t>
  </si>
  <si>
    <t>Commodities</t>
  </si>
  <si>
    <t>Target Allocation</t>
  </si>
  <si>
    <t>Actual Allocation</t>
  </si>
  <si>
    <t>Total</t>
  </si>
  <si>
    <t>Ticker</t>
  </si>
  <si>
    <t>Class</t>
  </si>
  <si>
    <t>1 Year Return</t>
  </si>
  <si>
    <t>3 Year Return</t>
  </si>
  <si>
    <t>5 Year Return</t>
  </si>
  <si>
    <t>10 Year Return</t>
  </si>
  <si>
    <t>Dividend</t>
  </si>
  <si>
    <t>Dividend Growth</t>
  </si>
  <si>
    <t>Standard Deviation</t>
  </si>
  <si>
    <t>Value</t>
  </si>
  <si>
    <t>ZNGA</t>
  </si>
  <si>
    <t>Shares</t>
  </si>
  <si>
    <t>SCYX</t>
  </si>
  <si>
    <t>BTC</t>
  </si>
  <si>
    <t>ETH</t>
  </si>
  <si>
    <t>Zynga</t>
  </si>
  <si>
    <t>EQUITIES</t>
  </si>
  <si>
    <t>PORTFOLIO</t>
  </si>
  <si>
    <t>Secondary Class</t>
  </si>
  <si>
    <t>PORTFOLIO VALUE</t>
  </si>
  <si>
    <t>CRYPTO</t>
  </si>
  <si>
    <t>Bitcoin</t>
  </si>
  <si>
    <t>AltCoin</t>
  </si>
  <si>
    <t>LIST</t>
  </si>
  <si>
    <t>Name</t>
  </si>
  <si>
    <t>ScyNexis</t>
  </si>
  <si>
    <t>Ethereum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</si>
</sst>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color theme="0"/>
      <name val="Times New Roman"/>
      <family val="1"/>
    </font>
    <font>
      <b/>
      <sz val="9"/>
      <name val="Times New Roman"/>
      <family val="1"/>
    </font>
    <font>
      <sz val="9"/>
      <color rgb="FF000099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8" fontId="0" fillId="0" borderId="0" xfId="0" applyNumberFormat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0" fontId="2" fillId="4" borderId="1" xfId="2" applyNumberFormat="1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8" fontId="2" fillId="0" borderId="0" xfId="0" applyNumberFormat="1" applyFont="1" applyAlignment="1">
      <alignment horizontal="center"/>
    </xf>
    <xf numFmtId="8" fontId="2" fillId="4" borderId="1" xfId="1" applyNumberFormat="1" applyFont="1" applyFill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0" fontId="6" fillId="4" borderId="1" xfId="2" applyNumberFormat="1" applyFont="1" applyFill="1" applyBorder="1" applyAlignment="1">
      <alignment horizontal="center"/>
    </xf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11</xdr:col>
          <xdr:colOff>361950</xdr:colOff>
          <xdr:row>2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CDD70C0-2AD7-44BA-A9FF-05CF3C22C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Refresh Price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7970-E00F-4AE1-8267-ADB75EAE1A49}">
  <sheetPr codeName="Sheet1"/>
  <dimension ref="A1:AC100"/>
  <sheetViews>
    <sheetView showGridLines="0" tabSelected="1" topLeftCell="A73" workbookViewId="0">
      <selection activeCell="N5" sqref="N5:N100"/>
    </sheetView>
  </sheetViews>
  <sheetFormatPr defaultRowHeight="15" x14ac:dyDescent="0.25"/>
  <cols>
    <col min="1" max="1" width="4.85546875" customWidth="1"/>
    <col min="2" max="2" width="17.28515625" style="1" bestFit="1" customWidth="1"/>
    <col min="3" max="3" width="8.7109375" style="1" bestFit="1" customWidth="1"/>
    <col min="4" max="4" width="7.42578125" style="1" bestFit="1" customWidth="1"/>
    <col min="5" max="5" width="9.42578125" style="1" bestFit="1" customWidth="1"/>
    <col min="6" max="6" width="13.42578125" style="1" bestFit="1" customWidth="1"/>
    <col min="7" max="7" width="11" style="1" bestFit="1" customWidth="1"/>
    <col min="8" max="8" width="7.140625" style="1" bestFit="1" customWidth="1"/>
    <col min="9" max="9" width="6" style="1" customWidth="1"/>
    <col min="10" max="10" width="6" style="1" bestFit="1" customWidth="1"/>
    <col min="11" max="11" width="6" style="1" customWidth="1"/>
    <col min="12" max="12" width="6.28515625" style="1" bestFit="1" customWidth="1"/>
    <col min="13" max="13" width="9.5703125" style="1" bestFit="1" customWidth="1"/>
    <col min="14" max="14" width="12.5703125" style="1" bestFit="1" customWidth="1"/>
    <col min="15" max="15" width="13.5703125" style="1" bestFit="1" customWidth="1"/>
    <col min="16" max="18" width="11.5703125" style="1" bestFit="1" customWidth="1"/>
    <col min="19" max="19" width="12.42578125" style="1" bestFit="1" customWidth="1"/>
    <col min="20" max="20" width="7.7109375" style="1" bestFit="1" customWidth="1"/>
    <col min="21" max="21" width="13.85546875" style="1" bestFit="1" customWidth="1"/>
    <col min="22" max="22" width="15.7109375" style="1" bestFit="1" customWidth="1"/>
    <col min="23" max="16384" width="9.140625" style="1"/>
  </cols>
  <sheetData>
    <row r="1" spans="2:29" customFormat="1" x14ac:dyDescent="0.25"/>
    <row r="2" spans="2:29" x14ac:dyDescent="0.25">
      <c r="B2" s="9" t="s">
        <v>31</v>
      </c>
      <c r="C2" s="11">
        <f>SUM(N5:N8)</f>
        <v>12.6681579626</v>
      </c>
    </row>
    <row r="4" spans="2:29" x14ac:dyDescent="0.25">
      <c r="B4" s="4" t="s">
        <v>29</v>
      </c>
      <c r="C4" s="6" t="s">
        <v>2</v>
      </c>
      <c r="D4" s="6" t="s">
        <v>3</v>
      </c>
      <c r="E4" s="6" t="s">
        <v>0</v>
      </c>
      <c r="F4" s="6" t="s">
        <v>1</v>
      </c>
      <c r="G4" s="6" t="s">
        <v>8</v>
      </c>
      <c r="H4" s="6" t="s">
        <v>11</v>
      </c>
      <c r="J4" s="6" t="s">
        <v>12</v>
      </c>
      <c r="K4" s="6" t="s">
        <v>36</v>
      </c>
      <c r="L4" s="6" t="s">
        <v>21</v>
      </c>
      <c r="M4" s="6" t="s">
        <v>23</v>
      </c>
      <c r="N4" s="6" t="s">
        <v>2</v>
      </c>
      <c r="O4" s="6" t="s">
        <v>13</v>
      </c>
      <c r="P4" s="6" t="s">
        <v>30</v>
      </c>
      <c r="Q4" s="6" t="s">
        <v>14</v>
      </c>
      <c r="R4" s="6" t="s">
        <v>15</v>
      </c>
      <c r="S4" s="6" t="s">
        <v>16</v>
      </c>
      <c r="T4" s="6" t="s">
        <v>17</v>
      </c>
      <c r="U4" s="6" t="s">
        <v>18</v>
      </c>
      <c r="V4" s="6" t="s">
        <v>19</v>
      </c>
      <c r="W4" s="6" t="s">
        <v>20</v>
      </c>
      <c r="AC4" s="1" t="s">
        <v>35</v>
      </c>
    </row>
    <row r="5" spans="2:29" x14ac:dyDescent="0.25">
      <c r="B5" s="5" t="s">
        <v>9</v>
      </c>
      <c r="C5" s="14">
        <v>0.65</v>
      </c>
      <c r="D5" s="14">
        <v>0.15</v>
      </c>
      <c r="E5" s="14">
        <v>0.15</v>
      </c>
      <c r="F5" s="14">
        <v>0.05</v>
      </c>
      <c r="G5" s="14">
        <v>0</v>
      </c>
      <c r="H5" s="7">
        <f>SUM(C5:G5)</f>
        <v>1</v>
      </c>
      <c r="J5" s="12" t="s">
        <v>22</v>
      </c>
      <c r="K5" s="12" t="s">
        <v>27</v>
      </c>
      <c r="L5" s="3">
        <v>6.24</v>
      </c>
      <c r="M5" s="13">
        <v>1</v>
      </c>
      <c r="N5" s="10">
        <f>IF(J5="","",L5*M5)</f>
        <v>6.24</v>
      </c>
      <c r="O5" s="13" t="s">
        <v>2</v>
      </c>
      <c r="P5" s="13" t="s">
        <v>5</v>
      </c>
      <c r="Q5" s="2"/>
      <c r="R5" s="2"/>
      <c r="S5" s="2"/>
      <c r="T5" s="2"/>
      <c r="U5" s="2">
        <v>0</v>
      </c>
      <c r="V5" s="2">
        <v>0</v>
      </c>
      <c r="W5" s="2"/>
      <c r="AC5" s="6" t="s">
        <v>4</v>
      </c>
    </row>
    <row r="6" spans="2:29" x14ac:dyDescent="0.25">
      <c r="B6" s="5" t="s">
        <v>10</v>
      </c>
      <c r="C6" s="7">
        <f>SUMIF($O$5:$O$100,C4,$N$5:$N$100)/SUM($N$5:$N$100)</f>
        <v>0.58966741826661473</v>
      </c>
      <c r="D6" s="7">
        <f t="shared" ref="D6:G6" si="0">SUMIF($O$5:$O$100,D4,$N$5:$N$100)/SUM($N$5:$N$100)</f>
        <v>0</v>
      </c>
      <c r="E6" s="7">
        <f t="shared" si="0"/>
        <v>0</v>
      </c>
      <c r="F6" s="7">
        <f t="shared" si="0"/>
        <v>0.41033258173338527</v>
      </c>
      <c r="G6" s="7">
        <f t="shared" si="0"/>
        <v>0</v>
      </c>
      <c r="H6" s="8">
        <f>SUM(C6:G6)</f>
        <v>1</v>
      </c>
      <c r="J6" s="12" t="s">
        <v>24</v>
      </c>
      <c r="K6" s="12" t="s">
        <v>37</v>
      </c>
      <c r="L6" s="2">
        <v>1.23</v>
      </c>
      <c r="M6" s="13">
        <v>1</v>
      </c>
      <c r="N6" s="10">
        <f t="shared" ref="N6:N69" si="1">IF(J6="","",L6*M6)</f>
        <v>1.23</v>
      </c>
      <c r="O6" s="13" t="s">
        <v>2</v>
      </c>
      <c r="P6" s="13" t="s">
        <v>6</v>
      </c>
      <c r="Q6" s="2"/>
      <c r="R6" s="2"/>
      <c r="S6" s="2"/>
      <c r="T6" s="2"/>
      <c r="U6" s="2"/>
      <c r="V6" s="2"/>
      <c r="W6" s="2"/>
      <c r="AC6" s="6" t="s">
        <v>5</v>
      </c>
    </row>
    <row r="7" spans="2:29" x14ac:dyDescent="0.25">
      <c r="J7" s="12" t="s">
        <v>25</v>
      </c>
      <c r="K7" s="12" t="s">
        <v>33</v>
      </c>
      <c r="L7" s="2">
        <v>11180.77</v>
      </c>
      <c r="M7" s="13">
        <v>3.6937999999999999E-4</v>
      </c>
      <c r="N7" s="10">
        <f t="shared" si="1"/>
        <v>4.1299528226</v>
      </c>
      <c r="O7" s="13" t="s">
        <v>1</v>
      </c>
      <c r="P7" s="13" t="s">
        <v>33</v>
      </c>
      <c r="Q7" s="2"/>
      <c r="R7" s="2"/>
      <c r="S7" s="2"/>
      <c r="T7" s="2"/>
      <c r="U7" s="2"/>
      <c r="V7" s="2"/>
      <c r="W7" s="2"/>
      <c r="AC7" s="6" t="s">
        <v>6</v>
      </c>
    </row>
    <row r="8" spans="2:29" x14ac:dyDescent="0.25">
      <c r="B8" s="4" t="s">
        <v>28</v>
      </c>
      <c r="C8" s="6" t="s">
        <v>4</v>
      </c>
      <c r="D8" s="6" t="s">
        <v>5</v>
      </c>
      <c r="E8" s="6" t="s">
        <v>6</v>
      </c>
      <c r="F8" s="6" t="s">
        <v>7</v>
      </c>
      <c r="G8" s="6" t="s">
        <v>11</v>
      </c>
      <c r="J8" s="12" t="s">
        <v>26</v>
      </c>
      <c r="K8" s="12" t="s">
        <v>38</v>
      </c>
      <c r="L8" s="2">
        <v>285.54000000000002</v>
      </c>
      <c r="M8" s="13">
        <v>3.741E-3</v>
      </c>
      <c r="N8" s="10">
        <f t="shared" si="1"/>
        <v>1.0682051400000001</v>
      </c>
      <c r="O8" s="13" t="s">
        <v>1</v>
      </c>
      <c r="P8" s="13" t="s">
        <v>34</v>
      </c>
      <c r="Q8" s="2"/>
      <c r="R8" s="2"/>
      <c r="S8" s="2"/>
      <c r="T8" s="2"/>
      <c r="U8" s="2"/>
      <c r="V8" s="2"/>
      <c r="W8" s="2"/>
      <c r="AC8" s="6" t="s">
        <v>7</v>
      </c>
    </row>
    <row r="9" spans="2:29" x14ac:dyDescent="0.25">
      <c r="B9" s="5" t="s">
        <v>9</v>
      </c>
      <c r="C9" s="14">
        <v>0.65</v>
      </c>
      <c r="D9" s="14">
        <v>0.15</v>
      </c>
      <c r="E9" s="14">
        <v>0.15</v>
      </c>
      <c r="F9" s="14">
        <v>0.05</v>
      </c>
      <c r="G9" s="7">
        <f>SUM(C9:F9)</f>
        <v>1</v>
      </c>
      <c r="J9" s="15"/>
      <c r="K9" s="15"/>
      <c r="M9" s="15"/>
      <c r="N9" s="10" t="str">
        <f t="shared" si="1"/>
        <v/>
      </c>
      <c r="O9" s="15"/>
      <c r="P9" s="15"/>
      <c r="AB9" s="6" t="s">
        <v>33</v>
      </c>
    </row>
    <row r="10" spans="2:29" x14ac:dyDescent="0.25">
      <c r="B10" s="5" t="s">
        <v>10</v>
      </c>
      <c r="C10" s="7">
        <f>SUMIF($P$5:$P$100,C8,$N$5:$N$100)/SUMIF($O$5:$O$100,$C$4,$N$5:$N$100)</f>
        <v>0</v>
      </c>
      <c r="D10" s="7">
        <f t="shared" ref="D10:F10" si="2">SUMIF($P$5:$P$100,D8,$N$5:$N$100)/SUMIF($O$5:$O$100,$C$4,$N$5:$N$100)</f>
        <v>0.83534136546184734</v>
      </c>
      <c r="E10" s="7">
        <f t="shared" si="2"/>
        <v>0.1646586345381526</v>
      </c>
      <c r="F10" s="7">
        <f t="shared" si="2"/>
        <v>0</v>
      </c>
      <c r="G10" s="8">
        <f>SUM(C10:F10)</f>
        <v>1</v>
      </c>
      <c r="J10" s="15"/>
      <c r="K10" s="15"/>
      <c r="M10" s="15"/>
      <c r="N10" s="10" t="str">
        <f t="shared" si="1"/>
        <v/>
      </c>
      <c r="O10" s="15"/>
      <c r="P10" s="15"/>
      <c r="AB10" s="6" t="s">
        <v>34</v>
      </c>
    </row>
    <row r="11" spans="2:29" x14ac:dyDescent="0.25">
      <c r="J11" s="15"/>
      <c r="K11" s="15"/>
      <c r="M11" s="15"/>
      <c r="N11" s="10" t="str">
        <f t="shared" si="1"/>
        <v/>
      </c>
      <c r="O11" s="15"/>
      <c r="P11" s="15"/>
    </row>
    <row r="12" spans="2:29" x14ac:dyDescent="0.25">
      <c r="B12" s="4" t="s">
        <v>32</v>
      </c>
      <c r="C12" s="6" t="s">
        <v>33</v>
      </c>
      <c r="D12" s="6" t="s">
        <v>34</v>
      </c>
      <c r="E12" s="6" t="s">
        <v>11</v>
      </c>
      <c r="J12" s="15"/>
      <c r="K12" s="15"/>
      <c r="M12" s="15"/>
      <c r="N12" s="10" t="str">
        <f t="shared" si="1"/>
        <v/>
      </c>
      <c r="O12" s="15"/>
      <c r="P12" s="15"/>
    </row>
    <row r="13" spans="2:29" x14ac:dyDescent="0.25">
      <c r="B13" s="5" t="s">
        <v>9</v>
      </c>
      <c r="C13" s="14">
        <f>3/5</f>
        <v>0.6</v>
      </c>
      <c r="D13" s="14">
        <f>2/5</f>
        <v>0.4</v>
      </c>
      <c r="E13" s="8">
        <f>SUM(C13:D13)</f>
        <v>1</v>
      </c>
      <c r="J13" s="15"/>
      <c r="K13" s="15"/>
      <c r="M13" s="15"/>
      <c r="N13" s="10" t="str">
        <f t="shared" si="1"/>
        <v/>
      </c>
      <c r="O13" s="15"/>
      <c r="P13" s="15"/>
    </row>
    <row r="14" spans="2:29" x14ac:dyDescent="0.25">
      <c r="B14" s="5" t="s">
        <v>10</v>
      </c>
      <c r="C14" s="7">
        <f>SUMIF($P$5:$P$100,C12,$N$5:$N$100)/SUMIF($O$5:$O$100,$F$4,$N$5:$N$100)</f>
        <v>0.7945031398265342</v>
      </c>
      <c r="D14" s="7">
        <f>SUMIF($P$5:$P$100,D12,$N$5:$N$100)/SUMIF($O$5:$O$100,$F$4,$N$5:$N$100)</f>
        <v>0.2054968601734658</v>
      </c>
      <c r="E14" s="8">
        <f>SUM(C14:D14)</f>
        <v>1</v>
      </c>
      <c r="J14" s="15"/>
      <c r="K14" s="15"/>
      <c r="M14" s="15"/>
      <c r="N14" s="10" t="str">
        <f t="shared" si="1"/>
        <v/>
      </c>
      <c r="O14" s="15"/>
      <c r="P14" s="15"/>
    </row>
    <row r="15" spans="2:29" x14ac:dyDescent="0.25">
      <c r="J15" s="15"/>
      <c r="K15" s="15"/>
      <c r="M15" s="15"/>
      <c r="N15" s="10" t="str">
        <f t="shared" si="1"/>
        <v/>
      </c>
      <c r="O15" s="15"/>
      <c r="P15" s="15"/>
    </row>
    <row r="16" spans="2:29" x14ac:dyDescent="0.25">
      <c r="J16" s="15"/>
      <c r="K16" s="15"/>
      <c r="M16" s="15"/>
      <c r="N16" s="10" t="str">
        <f t="shared" si="1"/>
        <v/>
      </c>
      <c r="O16" s="15"/>
      <c r="P16" s="15"/>
    </row>
    <row r="17" spans="10:16" x14ac:dyDescent="0.25">
      <c r="J17" s="15"/>
      <c r="K17" s="15"/>
      <c r="M17" s="15"/>
      <c r="N17" s="10" t="str">
        <f t="shared" si="1"/>
        <v/>
      </c>
      <c r="O17" s="15"/>
      <c r="P17" s="15"/>
    </row>
    <row r="18" spans="10:16" x14ac:dyDescent="0.25">
      <c r="J18" s="15"/>
      <c r="K18" s="15"/>
      <c r="M18" s="15"/>
      <c r="N18" s="10" t="str">
        <f t="shared" si="1"/>
        <v/>
      </c>
      <c r="O18" s="15"/>
      <c r="P18" s="15"/>
    </row>
    <row r="19" spans="10:16" x14ac:dyDescent="0.25">
      <c r="J19" s="15"/>
      <c r="K19" s="15"/>
      <c r="M19" s="15"/>
      <c r="N19" s="10" t="str">
        <f t="shared" si="1"/>
        <v/>
      </c>
      <c r="O19" s="15"/>
      <c r="P19" s="15"/>
    </row>
    <row r="20" spans="10:16" x14ac:dyDescent="0.25">
      <c r="J20" s="15"/>
      <c r="K20" s="15"/>
      <c r="M20" s="15"/>
      <c r="N20" s="10" t="str">
        <f t="shared" si="1"/>
        <v/>
      </c>
      <c r="O20" s="15"/>
      <c r="P20" s="15"/>
    </row>
    <row r="21" spans="10:16" x14ac:dyDescent="0.25">
      <c r="J21" s="15"/>
      <c r="K21" s="15"/>
      <c r="M21" s="15"/>
      <c r="N21" s="10" t="str">
        <f t="shared" si="1"/>
        <v/>
      </c>
      <c r="O21" s="15"/>
      <c r="P21" s="15"/>
    </row>
    <row r="22" spans="10:16" x14ac:dyDescent="0.25">
      <c r="J22" s="15"/>
      <c r="K22" s="15"/>
      <c r="M22" s="15"/>
      <c r="N22" s="10" t="str">
        <f t="shared" si="1"/>
        <v/>
      </c>
      <c r="O22" s="15"/>
      <c r="P22" s="15"/>
    </row>
    <row r="23" spans="10:16" x14ac:dyDescent="0.25">
      <c r="J23" s="15"/>
      <c r="K23" s="15"/>
      <c r="M23" s="15"/>
      <c r="N23" s="10" t="str">
        <f t="shared" si="1"/>
        <v/>
      </c>
      <c r="O23" s="15"/>
      <c r="P23" s="15"/>
    </row>
    <row r="24" spans="10:16" x14ac:dyDescent="0.25">
      <c r="J24" s="15"/>
      <c r="K24" s="15"/>
      <c r="M24" s="15"/>
      <c r="N24" s="10" t="str">
        <f t="shared" si="1"/>
        <v/>
      </c>
      <c r="O24" s="15"/>
      <c r="P24" s="15"/>
    </row>
    <row r="25" spans="10:16" x14ac:dyDescent="0.25">
      <c r="J25" s="15"/>
      <c r="K25" s="15"/>
      <c r="M25" s="15"/>
      <c r="N25" s="10" t="str">
        <f t="shared" si="1"/>
        <v/>
      </c>
      <c r="O25" s="15"/>
      <c r="P25" s="15"/>
    </row>
    <row r="26" spans="10:16" x14ac:dyDescent="0.25">
      <c r="J26" s="15"/>
      <c r="K26" s="15"/>
      <c r="M26" s="15"/>
      <c r="N26" s="10" t="str">
        <f t="shared" si="1"/>
        <v/>
      </c>
      <c r="O26" s="15"/>
      <c r="P26" s="15"/>
    </row>
    <row r="27" spans="10:16" x14ac:dyDescent="0.25">
      <c r="J27" s="15"/>
      <c r="K27" s="15"/>
      <c r="M27" s="15"/>
      <c r="N27" s="10" t="str">
        <f t="shared" si="1"/>
        <v/>
      </c>
      <c r="O27" s="15"/>
      <c r="P27" s="15"/>
    </row>
    <row r="28" spans="10:16" x14ac:dyDescent="0.25">
      <c r="J28" s="15"/>
      <c r="K28" s="15"/>
      <c r="M28" s="15"/>
      <c r="N28" s="10" t="str">
        <f t="shared" si="1"/>
        <v/>
      </c>
      <c r="O28" s="15"/>
      <c r="P28" s="15"/>
    </row>
    <row r="29" spans="10:16" x14ac:dyDescent="0.25">
      <c r="J29" s="15"/>
      <c r="K29" s="15"/>
      <c r="M29" s="15"/>
      <c r="N29" s="10" t="str">
        <f t="shared" si="1"/>
        <v/>
      </c>
      <c r="O29" s="15"/>
      <c r="P29" s="15"/>
    </row>
    <row r="30" spans="10:16" x14ac:dyDescent="0.25">
      <c r="J30" s="15"/>
      <c r="K30" s="15"/>
      <c r="M30" s="15"/>
      <c r="N30" s="10" t="str">
        <f t="shared" si="1"/>
        <v/>
      </c>
      <c r="O30" s="15"/>
      <c r="P30" s="15"/>
    </row>
    <row r="31" spans="10:16" x14ac:dyDescent="0.25">
      <c r="J31" s="15"/>
      <c r="K31" s="15"/>
      <c r="M31" s="15"/>
      <c r="N31" s="10" t="str">
        <f t="shared" si="1"/>
        <v/>
      </c>
      <c r="O31" s="15"/>
      <c r="P31" s="15"/>
    </row>
    <row r="32" spans="10:16" x14ac:dyDescent="0.25">
      <c r="J32" s="15"/>
      <c r="K32" s="15"/>
      <c r="M32" s="15"/>
      <c r="N32" s="10" t="str">
        <f t="shared" si="1"/>
        <v/>
      </c>
      <c r="O32" s="15"/>
      <c r="P32" s="15"/>
    </row>
    <row r="33" spans="10:16" x14ac:dyDescent="0.25">
      <c r="J33" s="15"/>
      <c r="K33" s="15"/>
      <c r="M33" s="15"/>
      <c r="N33" s="10" t="str">
        <f t="shared" si="1"/>
        <v/>
      </c>
      <c r="O33" s="15"/>
      <c r="P33" s="15"/>
    </row>
    <row r="34" spans="10:16" x14ac:dyDescent="0.25">
      <c r="J34" s="15"/>
      <c r="K34" s="15"/>
      <c r="M34" s="15"/>
      <c r="N34" s="10" t="str">
        <f t="shared" si="1"/>
        <v/>
      </c>
      <c r="O34" s="15"/>
      <c r="P34" s="15"/>
    </row>
    <row r="35" spans="10:16" x14ac:dyDescent="0.25">
      <c r="J35" s="15"/>
      <c r="K35" s="15"/>
      <c r="M35" s="15"/>
      <c r="N35" s="10" t="str">
        <f t="shared" si="1"/>
        <v/>
      </c>
      <c r="O35" s="15"/>
      <c r="P35" s="15"/>
    </row>
    <row r="36" spans="10:16" x14ac:dyDescent="0.25">
      <c r="J36" s="15"/>
      <c r="K36" s="15"/>
      <c r="M36" s="15"/>
      <c r="N36" s="10" t="str">
        <f t="shared" si="1"/>
        <v/>
      </c>
      <c r="O36" s="15"/>
      <c r="P36" s="15"/>
    </row>
    <row r="37" spans="10:16" x14ac:dyDescent="0.25">
      <c r="J37" s="15"/>
      <c r="K37" s="15"/>
      <c r="M37" s="15"/>
      <c r="N37" s="10" t="str">
        <f t="shared" si="1"/>
        <v/>
      </c>
      <c r="O37" s="15"/>
      <c r="P37" s="15"/>
    </row>
    <row r="38" spans="10:16" x14ac:dyDescent="0.25">
      <c r="J38" s="15"/>
      <c r="K38" s="15"/>
      <c r="M38" s="15"/>
      <c r="N38" s="10" t="str">
        <f t="shared" si="1"/>
        <v/>
      </c>
      <c r="O38" s="15"/>
      <c r="P38" s="15"/>
    </row>
    <row r="39" spans="10:16" x14ac:dyDescent="0.25">
      <c r="J39" s="15"/>
      <c r="K39" s="15"/>
      <c r="M39" s="15"/>
      <c r="N39" s="10" t="str">
        <f t="shared" si="1"/>
        <v/>
      </c>
      <c r="O39" s="15"/>
      <c r="P39" s="15"/>
    </row>
    <row r="40" spans="10:16" x14ac:dyDescent="0.25">
      <c r="J40" s="15"/>
      <c r="K40" s="15"/>
      <c r="M40" s="15"/>
      <c r="N40" s="10" t="str">
        <f t="shared" si="1"/>
        <v/>
      </c>
      <c r="O40" s="15"/>
      <c r="P40" s="15"/>
    </row>
    <row r="41" spans="10:16" x14ac:dyDescent="0.25">
      <c r="J41" s="15"/>
      <c r="K41" s="15"/>
      <c r="M41" s="15"/>
      <c r="N41" s="10" t="str">
        <f t="shared" si="1"/>
        <v/>
      </c>
      <c r="O41" s="15"/>
      <c r="P41" s="15"/>
    </row>
    <row r="42" spans="10:16" x14ac:dyDescent="0.25">
      <c r="J42" s="15"/>
      <c r="K42" s="15"/>
      <c r="M42" s="15"/>
      <c r="N42" s="10" t="str">
        <f t="shared" si="1"/>
        <v/>
      </c>
      <c r="O42" s="15"/>
      <c r="P42" s="15"/>
    </row>
    <row r="43" spans="10:16" x14ac:dyDescent="0.25">
      <c r="J43" s="15"/>
      <c r="K43" s="15"/>
      <c r="M43" s="15"/>
      <c r="N43" s="10" t="str">
        <f t="shared" si="1"/>
        <v/>
      </c>
      <c r="O43" s="15"/>
      <c r="P43" s="15"/>
    </row>
    <row r="44" spans="10:16" x14ac:dyDescent="0.25">
      <c r="J44" s="15"/>
      <c r="K44" s="15"/>
      <c r="M44" s="15"/>
      <c r="N44" s="10" t="str">
        <f t="shared" si="1"/>
        <v/>
      </c>
      <c r="O44" s="15"/>
      <c r="P44" s="15"/>
    </row>
    <row r="45" spans="10:16" x14ac:dyDescent="0.25">
      <c r="J45" s="15"/>
      <c r="K45" s="15"/>
      <c r="M45" s="15"/>
      <c r="N45" s="10" t="str">
        <f t="shared" si="1"/>
        <v/>
      </c>
      <c r="O45" s="15"/>
      <c r="P45" s="15"/>
    </row>
    <row r="46" spans="10:16" x14ac:dyDescent="0.25">
      <c r="J46" s="15"/>
      <c r="K46" s="15"/>
      <c r="M46" s="15"/>
      <c r="N46" s="10" t="str">
        <f t="shared" si="1"/>
        <v/>
      </c>
      <c r="O46" s="15"/>
      <c r="P46" s="15"/>
    </row>
    <row r="47" spans="10:16" x14ac:dyDescent="0.25">
      <c r="J47" s="15"/>
      <c r="K47" s="15"/>
      <c r="M47" s="15"/>
      <c r="N47" s="10" t="str">
        <f t="shared" si="1"/>
        <v/>
      </c>
      <c r="O47" s="15"/>
      <c r="P47" s="15"/>
    </row>
    <row r="48" spans="10:16" x14ac:dyDescent="0.25">
      <c r="J48" s="15"/>
      <c r="K48" s="15"/>
      <c r="M48" s="15"/>
      <c r="N48" s="10" t="str">
        <f t="shared" si="1"/>
        <v/>
      </c>
      <c r="O48" s="15"/>
      <c r="P48" s="15"/>
    </row>
    <row r="49" spans="10:16" x14ac:dyDescent="0.25">
      <c r="J49" s="15"/>
      <c r="K49" s="15"/>
      <c r="M49" s="15"/>
      <c r="N49" s="10" t="str">
        <f t="shared" si="1"/>
        <v/>
      </c>
      <c r="O49" s="15"/>
      <c r="P49" s="15"/>
    </row>
    <row r="50" spans="10:16" x14ac:dyDescent="0.25">
      <c r="J50" s="15"/>
      <c r="K50" s="15"/>
      <c r="M50" s="15"/>
      <c r="N50" s="10" t="str">
        <f t="shared" si="1"/>
        <v/>
      </c>
      <c r="O50" s="15"/>
      <c r="P50" s="15"/>
    </row>
    <row r="51" spans="10:16" x14ac:dyDescent="0.25">
      <c r="J51" s="15"/>
      <c r="K51" s="15"/>
      <c r="M51" s="15"/>
      <c r="N51" s="10" t="str">
        <f t="shared" si="1"/>
        <v/>
      </c>
      <c r="O51" s="15"/>
      <c r="P51" s="15"/>
    </row>
    <row r="52" spans="10:16" x14ac:dyDescent="0.25">
      <c r="J52" s="15"/>
      <c r="K52" s="15"/>
      <c r="M52" s="15"/>
      <c r="N52" s="10" t="str">
        <f t="shared" si="1"/>
        <v/>
      </c>
      <c r="O52" s="15"/>
      <c r="P52" s="15"/>
    </row>
    <row r="53" spans="10:16" x14ac:dyDescent="0.25">
      <c r="J53" s="15"/>
      <c r="K53" s="15"/>
      <c r="M53" s="15"/>
      <c r="N53" s="10" t="str">
        <f t="shared" si="1"/>
        <v/>
      </c>
      <c r="O53" s="15"/>
      <c r="P53" s="15"/>
    </row>
    <row r="54" spans="10:16" x14ac:dyDescent="0.25">
      <c r="J54" s="15"/>
      <c r="K54" s="15"/>
      <c r="M54" s="15"/>
      <c r="N54" s="10" t="str">
        <f t="shared" si="1"/>
        <v/>
      </c>
      <c r="O54" s="15"/>
      <c r="P54" s="15"/>
    </row>
    <row r="55" spans="10:16" x14ac:dyDescent="0.25">
      <c r="J55" s="15"/>
      <c r="K55" s="15"/>
      <c r="M55" s="15"/>
      <c r="N55" s="10" t="str">
        <f t="shared" si="1"/>
        <v/>
      </c>
      <c r="O55" s="15"/>
      <c r="P55" s="15"/>
    </row>
    <row r="56" spans="10:16" x14ac:dyDescent="0.25">
      <c r="J56" s="15"/>
      <c r="K56" s="15"/>
      <c r="M56" s="15"/>
      <c r="N56" s="10" t="str">
        <f t="shared" si="1"/>
        <v/>
      </c>
      <c r="O56" s="15"/>
      <c r="P56" s="15"/>
    </row>
    <row r="57" spans="10:16" x14ac:dyDescent="0.25">
      <c r="J57" s="15"/>
      <c r="K57" s="15"/>
      <c r="M57" s="15"/>
      <c r="N57" s="10" t="str">
        <f t="shared" si="1"/>
        <v/>
      </c>
      <c r="O57" s="15"/>
      <c r="P57" s="15"/>
    </row>
    <row r="58" spans="10:16" x14ac:dyDescent="0.25">
      <c r="J58" s="15"/>
      <c r="K58" s="15"/>
      <c r="M58" s="15"/>
      <c r="N58" s="10" t="str">
        <f t="shared" si="1"/>
        <v/>
      </c>
      <c r="O58" s="15"/>
      <c r="P58" s="15"/>
    </row>
    <row r="59" spans="10:16" x14ac:dyDescent="0.25">
      <c r="J59" s="15"/>
      <c r="K59" s="15"/>
      <c r="M59" s="15"/>
      <c r="N59" s="10" t="str">
        <f t="shared" si="1"/>
        <v/>
      </c>
      <c r="O59" s="15"/>
      <c r="P59" s="15"/>
    </row>
    <row r="60" spans="10:16" x14ac:dyDescent="0.25">
      <c r="J60" s="15"/>
      <c r="K60" s="15"/>
      <c r="M60" s="15"/>
      <c r="N60" s="10" t="str">
        <f t="shared" si="1"/>
        <v/>
      </c>
      <c r="O60" s="15"/>
      <c r="P60" s="15"/>
    </row>
    <row r="61" spans="10:16" x14ac:dyDescent="0.25">
      <c r="J61" s="15"/>
      <c r="K61" s="15"/>
      <c r="M61" s="15"/>
      <c r="N61" s="10" t="str">
        <f t="shared" si="1"/>
        <v/>
      </c>
      <c r="O61" s="15"/>
      <c r="P61" s="15"/>
    </row>
    <row r="62" spans="10:16" x14ac:dyDescent="0.25">
      <c r="J62" s="15"/>
      <c r="K62" s="15"/>
      <c r="M62" s="15"/>
      <c r="N62" s="10" t="str">
        <f t="shared" si="1"/>
        <v/>
      </c>
      <c r="O62" s="15"/>
      <c r="P62" s="15"/>
    </row>
    <row r="63" spans="10:16" x14ac:dyDescent="0.25">
      <c r="J63" s="15"/>
      <c r="K63" s="15"/>
      <c r="M63" s="15"/>
      <c r="N63" s="10" t="str">
        <f t="shared" si="1"/>
        <v/>
      </c>
      <c r="O63" s="15"/>
      <c r="P63" s="15"/>
    </row>
    <row r="64" spans="10:16" x14ac:dyDescent="0.25">
      <c r="J64" s="15"/>
      <c r="K64" s="15"/>
      <c r="M64" s="15"/>
      <c r="N64" s="10" t="str">
        <f t="shared" si="1"/>
        <v/>
      </c>
      <c r="O64" s="15"/>
      <c r="P64" s="15"/>
    </row>
    <row r="65" spans="10:16" x14ac:dyDescent="0.25">
      <c r="J65" s="15"/>
      <c r="K65" s="15"/>
      <c r="M65" s="15"/>
      <c r="N65" s="10" t="str">
        <f t="shared" si="1"/>
        <v/>
      </c>
      <c r="O65" s="15"/>
      <c r="P65" s="15"/>
    </row>
    <row r="66" spans="10:16" x14ac:dyDescent="0.25">
      <c r="J66" s="15"/>
      <c r="K66" s="15"/>
      <c r="M66" s="15"/>
      <c r="N66" s="10" t="str">
        <f t="shared" si="1"/>
        <v/>
      </c>
      <c r="O66" s="15"/>
      <c r="P66" s="15"/>
    </row>
    <row r="67" spans="10:16" x14ac:dyDescent="0.25">
      <c r="J67" s="15"/>
      <c r="K67" s="15"/>
      <c r="M67" s="15"/>
      <c r="N67" s="10" t="str">
        <f t="shared" si="1"/>
        <v/>
      </c>
      <c r="O67" s="15"/>
      <c r="P67" s="15"/>
    </row>
    <row r="68" spans="10:16" x14ac:dyDescent="0.25">
      <c r="J68" s="15"/>
      <c r="K68" s="15"/>
      <c r="M68" s="15"/>
      <c r="N68" s="10" t="str">
        <f t="shared" si="1"/>
        <v/>
      </c>
      <c r="O68" s="15"/>
      <c r="P68" s="15"/>
    </row>
    <row r="69" spans="10:16" x14ac:dyDescent="0.25">
      <c r="J69" s="15"/>
      <c r="K69" s="15"/>
      <c r="M69" s="15"/>
      <c r="N69" s="10" t="str">
        <f t="shared" si="1"/>
        <v/>
      </c>
      <c r="O69" s="15"/>
      <c r="P69" s="15"/>
    </row>
    <row r="70" spans="10:16" x14ac:dyDescent="0.25">
      <c r="J70" s="15"/>
      <c r="K70" s="15"/>
      <c r="M70" s="15"/>
      <c r="N70" s="10" t="str">
        <f t="shared" ref="N70:N100" si="3">IF(J70="","",L70*M70)</f>
        <v/>
      </c>
      <c r="O70" s="15"/>
      <c r="P70" s="15"/>
    </row>
    <row r="71" spans="10:16" x14ac:dyDescent="0.25">
      <c r="J71" s="15"/>
      <c r="K71" s="15"/>
      <c r="M71" s="15"/>
      <c r="N71" s="10" t="str">
        <f t="shared" si="3"/>
        <v/>
      </c>
      <c r="O71" s="15"/>
      <c r="P71" s="15"/>
    </row>
    <row r="72" spans="10:16" x14ac:dyDescent="0.25">
      <c r="J72" s="15"/>
      <c r="K72" s="15"/>
      <c r="M72" s="15"/>
      <c r="N72" s="10" t="str">
        <f t="shared" si="3"/>
        <v/>
      </c>
      <c r="O72" s="15"/>
      <c r="P72" s="15"/>
    </row>
    <row r="73" spans="10:16" x14ac:dyDescent="0.25">
      <c r="J73" s="15"/>
      <c r="K73" s="15"/>
      <c r="M73" s="15"/>
      <c r="N73" s="10" t="str">
        <f t="shared" si="3"/>
        <v/>
      </c>
      <c r="O73" s="15"/>
      <c r="P73" s="15"/>
    </row>
    <row r="74" spans="10:16" x14ac:dyDescent="0.25">
      <c r="J74" s="15"/>
      <c r="K74" s="15"/>
      <c r="M74" s="15"/>
      <c r="N74" s="10" t="str">
        <f t="shared" si="3"/>
        <v/>
      </c>
      <c r="O74" s="15"/>
      <c r="P74" s="15"/>
    </row>
    <row r="75" spans="10:16" x14ac:dyDescent="0.25">
      <c r="J75" s="15"/>
      <c r="K75" s="15"/>
      <c r="M75" s="15"/>
      <c r="N75" s="10" t="str">
        <f t="shared" si="3"/>
        <v/>
      </c>
      <c r="O75" s="15"/>
      <c r="P75" s="15"/>
    </row>
    <row r="76" spans="10:16" x14ac:dyDescent="0.25">
      <c r="J76" s="15"/>
      <c r="K76" s="15"/>
      <c r="M76" s="15"/>
      <c r="N76" s="10" t="str">
        <f t="shared" si="3"/>
        <v/>
      </c>
      <c r="O76" s="15"/>
      <c r="P76" s="15"/>
    </row>
    <row r="77" spans="10:16" x14ac:dyDescent="0.25">
      <c r="J77" s="15"/>
      <c r="K77" s="15"/>
      <c r="M77" s="15"/>
      <c r="N77" s="10" t="str">
        <f t="shared" si="3"/>
        <v/>
      </c>
      <c r="O77" s="15"/>
      <c r="P77" s="15"/>
    </row>
    <row r="78" spans="10:16" x14ac:dyDescent="0.25">
      <c r="J78" s="15"/>
      <c r="K78" s="15"/>
      <c r="M78" s="15"/>
      <c r="N78" s="10" t="str">
        <f t="shared" si="3"/>
        <v/>
      </c>
      <c r="O78" s="15"/>
      <c r="P78" s="15"/>
    </row>
    <row r="79" spans="10:16" x14ac:dyDescent="0.25">
      <c r="J79" s="15"/>
      <c r="K79" s="15"/>
      <c r="M79" s="15"/>
      <c r="N79" s="10" t="str">
        <f t="shared" si="3"/>
        <v/>
      </c>
      <c r="O79" s="15"/>
      <c r="P79" s="15"/>
    </row>
    <row r="80" spans="10:16" x14ac:dyDescent="0.25">
      <c r="J80" s="15"/>
      <c r="K80" s="15"/>
      <c r="M80" s="15"/>
      <c r="N80" s="10" t="str">
        <f t="shared" si="3"/>
        <v/>
      </c>
      <c r="O80" s="15"/>
      <c r="P80" s="15"/>
    </row>
    <row r="81" spans="10:16" x14ac:dyDescent="0.25">
      <c r="J81" s="15"/>
      <c r="K81" s="15"/>
      <c r="M81" s="15"/>
      <c r="N81" s="10" t="str">
        <f t="shared" si="3"/>
        <v/>
      </c>
      <c r="O81" s="15"/>
      <c r="P81" s="15"/>
    </row>
    <row r="82" spans="10:16" x14ac:dyDescent="0.25">
      <c r="J82" s="15"/>
      <c r="K82" s="15"/>
      <c r="M82" s="15"/>
      <c r="N82" s="10" t="str">
        <f t="shared" si="3"/>
        <v/>
      </c>
      <c r="O82" s="15"/>
      <c r="P82" s="15"/>
    </row>
    <row r="83" spans="10:16" x14ac:dyDescent="0.25">
      <c r="J83" s="15"/>
      <c r="K83" s="15"/>
      <c r="M83" s="15"/>
      <c r="N83" s="10" t="str">
        <f t="shared" si="3"/>
        <v/>
      </c>
      <c r="O83" s="15"/>
      <c r="P83" s="15"/>
    </row>
    <row r="84" spans="10:16" x14ac:dyDescent="0.25">
      <c r="J84" s="15"/>
      <c r="K84" s="15"/>
      <c r="M84" s="15"/>
      <c r="N84" s="10" t="str">
        <f t="shared" si="3"/>
        <v/>
      </c>
      <c r="O84" s="15"/>
      <c r="P84" s="15"/>
    </row>
    <row r="85" spans="10:16" x14ac:dyDescent="0.25">
      <c r="J85" s="15"/>
      <c r="K85" s="15"/>
      <c r="M85" s="15"/>
      <c r="N85" s="10" t="str">
        <f t="shared" si="3"/>
        <v/>
      </c>
      <c r="O85" s="15"/>
      <c r="P85" s="15"/>
    </row>
    <row r="86" spans="10:16" x14ac:dyDescent="0.25">
      <c r="J86" s="15"/>
      <c r="K86" s="15"/>
      <c r="M86" s="15"/>
      <c r="N86" s="10" t="str">
        <f t="shared" si="3"/>
        <v/>
      </c>
      <c r="O86" s="15"/>
      <c r="P86" s="15"/>
    </row>
    <row r="87" spans="10:16" x14ac:dyDescent="0.25">
      <c r="J87" s="15"/>
      <c r="K87" s="15"/>
      <c r="M87" s="15"/>
      <c r="N87" s="10" t="str">
        <f t="shared" si="3"/>
        <v/>
      </c>
      <c r="O87" s="15"/>
      <c r="P87" s="15"/>
    </row>
    <row r="88" spans="10:16" x14ac:dyDescent="0.25">
      <c r="J88" s="15"/>
      <c r="K88" s="15"/>
      <c r="M88" s="15"/>
      <c r="N88" s="10" t="str">
        <f t="shared" si="3"/>
        <v/>
      </c>
      <c r="O88" s="15"/>
      <c r="P88" s="15"/>
    </row>
    <row r="89" spans="10:16" x14ac:dyDescent="0.25">
      <c r="J89" s="15"/>
      <c r="K89" s="15"/>
      <c r="M89" s="15"/>
      <c r="N89" s="10" t="str">
        <f t="shared" si="3"/>
        <v/>
      </c>
      <c r="O89" s="15"/>
      <c r="P89" s="15"/>
    </row>
    <row r="90" spans="10:16" x14ac:dyDescent="0.25">
      <c r="J90" s="15"/>
      <c r="K90" s="15"/>
      <c r="M90" s="15"/>
      <c r="N90" s="10" t="str">
        <f t="shared" si="3"/>
        <v/>
      </c>
      <c r="O90" s="15"/>
      <c r="P90" s="15"/>
    </row>
    <row r="91" spans="10:16" x14ac:dyDescent="0.25">
      <c r="J91" s="15"/>
      <c r="K91" s="15"/>
      <c r="M91" s="15"/>
      <c r="N91" s="10" t="str">
        <f t="shared" si="3"/>
        <v/>
      </c>
      <c r="O91" s="15"/>
      <c r="P91" s="15"/>
    </row>
    <row r="92" spans="10:16" x14ac:dyDescent="0.25">
      <c r="J92" s="15"/>
      <c r="K92" s="15"/>
      <c r="M92" s="15"/>
      <c r="N92" s="10" t="str">
        <f t="shared" si="3"/>
        <v/>
      </c>
      <c r="O92" s="15"/>
      <c r="P92" s="15"/>
    </row>
    <row r="93" spans="10:16" x14ac:dyDescent="0.25">
      <c r="J93" s="15"/>
      <c r="K93" s="15"/>
      <c r="M93" s="15"/>
      <c r="N93" s="10" t="str">
        <f t="shared" si="3"/>
        <v/>
      </c>
      <c r="O93" s="15"/>
      <c r="P93" s="15"/>
    </row>
    <row r="94" spans="10:16" x14ac:dyDescent="0.25">
      <c r="J94" s="15"/>
      <c r="K94" s="15"/>
      <c r="M94" s="15"/>
      <c r="N94" s="10" t="str">
        <f t="shared" si="3"/>
        <v/>
      </c>
      <c r="O94" s="15"/>
      <c r="P94" s="15"/>
    </row>
    <row r="95" spans="10:16" x14ac:dyDescent="0.25">
      <c r="J95" s="15"/>
      <c r="K95" s="15"/>
      <c r="M95" s="15"/>
      <c r="N95" s="10" t="str">
        <f t="shared" si="3"/>
        <v/>
      </c>
      <c r="O95" s="15"/>
      <c r="P95" s="15"/>
    </row>
    <row r="96" spans="10:16" x14ac:dyDescent="0.25">
      <c r="J96" s="15"/>
      <c r="K96" s="15"/>
      <c r="M96" s="15"/>
      <c r="N96" s="10" t="str">
        <f t="shared" si="3"/>
        <v/>
      </c>
      <c r="O96" s="15"/>
      <c r="P96" s="15"/>
    </row>
    <row r="97" spans="10:16" x14ac:dyDescent="0.25">
      <c r="J97" s="15"/>
      <c r="K97" s="15"/>
      <c r="M97" s="15"/>
      <c r="N97" s="10" t="str">
        <f t="shared" si="3"/>
        <v/>
      </c>
      <c r="O97" s="15"/>
      <c r="P97" s="15"/>
    </row>
    <row r="98" spans="10:16" x14ac:dyDescent="0.25">
      <c r="J98" s="15"/>
      <c r="K98" s="15"/>
      <c r="M98" s="15"/>
      <c r="N98" s="10" t="str">
        <f t="shared" si="3"/>
        <v/>
      </c>
      <c r="O98" s="15"/>
      <c r="P98" s="15"/>
    </row>
    <row r="99" spans="10:16" x14ac:dyDescent="0.25">
      <c r="J99" s="15"/>
      <c r="K99" s="15"/>
      <c r="M99" s="15"/>
      <c r="N99" s="10" t="str">
        <f t="shared" si="3"/>
        <v/>
      </c>
      <c r="O99" s="15"/>
      <c r="P99" s="15"/>
    </row>
    <row r="100" spans="10:16" x14ac:dyDescent="0.25">
      <c r="J100" s="15"/>
      <c r="K100" s="15"/>
      <c r="M100" s="15"/>
      <c r="N100" s="10" t="str">
        <f t="shared" si="3"/>
        <v/>
      </c>
      <c r="O100" s="15"/>
      <c r="P100" s="15"/>
    </row>
  </sheetData>
  <conditionalFormatting sqref="J5:W8 J9:V100">
    <cfRule type="expression" dxfId="0" priority="2">
      <formula>NOT(ISBLANK($J5:$V100))</formula>
    </cfRule>
  </conditionalFormatting>
  <dataValidations count="2">
    <dataValidation type="list" allowBlank="1" showInputMessage="1" showErrorMessage="1" sqref="O5:O8" xr:uid="{B2BD5544-3758-4CEC-8E19-3264BF978986}">
      <formula1>$C$4:$G$4</formula1>
    </dataValidation>
    <dataValidation type="list" allowBlank="1" showInputMessage="1" showErrorMessage="1" sqref="O9:O100 P5:P8" xr:uid="{3527C31A-B985-40A3-879B-B67DE2B75173}">
      <formula1>$AB$5:$AB$10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getRobinHoodData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15ED60-9499-4D64-8544-B622A5025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Portfolio</vt:lpstr>
      <vt:lpstr>Class</vt:lpstr>
      <vt:lpstr>Name</vt:lpstr>
      <vt:lpstr>Ticker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Trevor</cp:lastModifiedBy>
  <dcterms:created xsi:type="dcterms:W3CDTF">2019-07-04T22:39:32Z</dcterms:created>
  <dcterms:modified xsi:type="dcterms:W3CDTF">2019-07-05T04:49:03Z</dcterms:modified>
</cp:coreProperties>
</file>